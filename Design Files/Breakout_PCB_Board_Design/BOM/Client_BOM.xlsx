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<sst xmlns="http://schemas.openxmlformats.org/spreadsheetml/2006/main" count="88" uniqueCount="54">
  <si>
    <t>Component list</t>
  </si>
  <si>
    <t>Bill of Materials for Project [Breakout_PCB_Board_Design</t>
  </si>
  <si>
    <t>Source Data From:</t>
  </si>
  <si>
    <t>Breakout_PCB_Board_Design</t>
  </si>
  <si>
    <t>Project:</t>
  </si>
  <si>
    <t>Variant:</t>
  </si>
  <si>
    <t>None</t>
  </si>
  <si>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</si>
  <si>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</si>
  <si>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</si>
  <si>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</si>
  <si>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</si>
  <si>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</si>
  <si>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</si>
  <si>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</si>
  <si>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</si>
  <si>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 xml:space="preserve"> Remarks</t>
  </si>
  <si>
    <t>Header</t>
  </si>
  <si>
    <t>J1, J3, J4, J6</t>
  </si>
  <si>
    <t>2.54mm Plugin 16P Brass Straight 1x16P Plugin,P=2.54mm Female Headers ROHS</t>
  </si>
  <si>
    <t>HDR1X16 Female</t>
  </si>
  <si>
    <t>2685Y-116CNG1SNA01</t>
  </si>
  <si>
    <t>HOAUC</t>
  </si>
  <si>
    <t>J2, J5</t>
  </si>
  <si>
    <t>2.54mm Plugin 3A bronze -40℃~+105℃ Straight 1x4P Top 4 Square Holes Plugin,P=2.54mm Female Headers ROHS</t>
  </si>
  <si>
    <t>HDR1X4 Female</t>
  </si>
  <si>
    <t>C2718488</t>
  </si>
  <si>
    <t>BOOMELE</t>
  </si>
  <si>
    <t>J7</t>
  </si>
  <si>
    <t>2.54mm 2.54mm 双排 12P Brass Straight 2x6P Plugin,P=2.54mm Female Headers ROHS</t>
  </si>
  <si>
    <t>HDR2X6 Female</t>
  </si>
  <si>
    <t>PM254V-12-12-H85</t>
  </si>
  <si>
    <t>XFCN</t>
  </si>
  <si>
    <t>J8</t>
  </si>
  <si>
    <t>2.54mm Plugin Gold 3A 10P Brass -40℃~+105℃ 250V 260℃ Straight 1x10P 8.5mm Top Square Holes Plugin,P=2.54mm Female Headers ROHS</t>
  </si>
  <si>
    <t>HDR1X10 Female</t>
  </si>
  <si>
    <t>X6511FV-10-C85D32</t>
  </si>
  <si>
    <t>XKB Connectivity</t>
  </si>
  <si>
    <t>Switch</t>
  </si>
  <si>
    <t>SW1, SW2</t>
  </si>
  <si>
    <t>Switch Slide N.O./N.C. SPDT Top Slide 0.2A 30VDC PC Pins Thru-Hole</t>
  </si>
  <si>
    <t>EG1218</t>
  </si>
  <si>
    <t>E-Switch</t>
  </si>
  <si>
    <t>Peripheral</t>
  </si>
  <si>
    <t>-</t>
  </si>
  <si>
    <t>Adafruit ESP32 Feather V2 w.FL Antenna - 8MB Flash + 2 MB PSRAM - STEMMA QT</t>
  </si>
  <si>
    <t>Adafruit</t>
  </si>
  <si>
    <t>WiFi Antenna with w.FL</t>
  </si>
  <si>
    <t>Airgain</t>
  </si>
  <si>
    <t>SparkFun BabyBuck Regulator Breakout - 3.3V (AP63203)</t>
  </si>
  <si>
    <t>Sparkfun</t>
  </si>
  <si>
    <t>ADS1115 16 Bit</t>
  </si>
  <si>
    <t>PDB-HEX</t>
  </si>
  <si>
    <t>Mateksys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</si>
</sst>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h:mm:ss\ AM/PM;@"/>
  </numFmts>
  <fonts count="39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24"/>
      <color indexed="10"/>
      <name val="Arial"/>
      <charset val="134"/>
    </font>
    <font>
      <b/>
      <sz val="24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0"/>
      <name val="Arial"/>
      <charset val="134"/>
    </font>
    <font>
      <b/>
      <sz val="10"/>
      <color indexed="10"/>
      <name val="Arial"/>
      <charset val="134"/>
    </font>
    <font>
      <b/>
      <sz val="10"/>
      <color theme="0"/>
      <name val="Calibri"/>
      <charset val="134"/>
      <scheme val="minor"/>
    </font>
    <font>
      <b/>
      <sz val="10"/>
      <color theme="0"/>
      <name val="Arial"/>
      <charset val="134"/>
    </font>
    <font>
      <sz val="10"/>
      <color theme="0"/>
      <name val="Calibri"/>
      <charset val="134"/>
      <scheme val="minor"/>
    </font>
    <font>
      <sz val="10"/>
      <color theme="0"/>
      <name val="Arial"/>
      <charset val="134"/>
    </font>
    <font>
      <sz val="9"/>
      <color indexed="10"/>
      <name val="Arial"/>
      <charset val="134"/>
    </font>
    <font>
      <sz val="9"/>
      <color theme="0"/>
      <name val="Calibri"/>
      <charset val="134"/>
      <scheme val="minor"/>
    </font>
    <font>
      <sz val="9"/>
      <color theme="0"/>
      <name val="Arial"/>
      <charset val="134"/>
    </font>
    <font>
      <sz val="10"/>
      <color indexed="10"/>
      <name val="Arial"/>
      <charset val="134"/>
    </font>
    <font>
      <b/>
      <sz val="11"/>
      <color theme="0"/>
      <name val="Calibri"/>
      <charset val="134"/>
      <scheme val="minor"/>
    </font>
    <font>
      <b/>
      <sz val="9"/>
      <name val="Calibri"/>
      <charset val="134"/>
      <scheme val="minor"/>
    </font>
    <font>
      <sz val="9"/>
      <name val="Calibri"/>
      <charset val="134"/>
      <scheme val="minor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5" borderId="19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22" applyNumberFormat="0" applyAlignment="0" applyProtection="0">
      <alignment vertical="center"/>
    </xf>
    <xf numFmtId="0" fontId="29" fillId="7" borderId="23" applyNumberFormat="0" applyAlignment="0" applyProtection="0">
      <alignment vertical="center"/>
    </xf>
    <xf numFmtId="0" fontId="30" fillId="7" borderId="22" applyNumberFormat="0" applyAlignment="0" applyProtection="0">
      <alignment vertical="center"/>
    </xf>
    <xf numFmtId="0" fontId="31" fillId="8" borderId="24" applyNumberFormat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</cellStyleXfs>
  <cellXfs count="61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/>
    <xf numFmtId="0" fontId="7" fillId="3" borderId="0" xfId="0" applyFont="1" applyFill="1" applyAlignment="1">
      <alignment horizontal="left"/>
    </xf>
    <xf numFmtId="0" fontId="8" fillId="3" borderId="0" xfId="0" applyFont="1" applyFill="1"/>
    <xf numFmtId="0" fontId="7" fillId="3" borderId="6" xfId="0" applyFont="1" applyFill="1" applyBorder="1" applyAlignment="1">
      <alignment horizontal="left"/>
    </xf>
    <xf numFmtId="0" fontId="9" fillId="3" borderId="6" xfId="0" applyFont="1" applyFill="1" applyBorder="1"/>
    <xf numFmtId="0" fontId="10" fillId="3" borderId="6" xfId="0" applyFont="1" applyFill="1" applyBorder="1"/>
    <xf numFmtId="0" fontId="7" fillId="3" borderId="7" xfId="0" applyFont="1" applyFill="1" applyBorder="1" applyAlignment="1">
      <alignment horizontal="left"/>
    </xf>
    <xf numFmtId="0" fontId="9" fillId="3" borderId="7" xfId="0" applyFont="1" applyFill="1" applyBorder="1"/>
    <xf numFmtId="0" fontId="10" fillId="3" borderId="7" xfId="0" applyFont="1" applyFill="1" applyBorder="1"/>
    <xf numFmtId="0" fontId="6" fillId="3" borderId="8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3" borderId="7" xfId="0" applyFont="1" applyFill="1" applyBorder="1"/>
    <xf numFmtId="0" fontId="9" fillId="3" borderId="7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/>
    <xf numFmtId="0" fontId="9" fillId="3" borderId="1" xfId="0" applyFont="1" applyFill="1" applyBorder="1" applyAlignment="1">
      <alignment horizontal="left"/>
    </xf>
    <xf numFmtId="0" fontId="13" fillId="3" borderId="0" xfId="0" applyFont="1" applyFill="1"/>
    <xf numFmtId="0" fontId="14" fillId="3" borderId="5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9" fillId="3" borderId="0" xfId="0" applyFont="1" applyFill="1"/>
    <xf numFmtId="176" fontId="9" fillId="3" borderId="0" xfId="0" applyNumberFormat="1" applyFont="1" applyFill="1" applyAlignment="1">
      <alignment horizontal="left"/>
    </xf>
    <xf numFmtId="0" fontId="15" fillId="4" borderId="9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 applyProtection="1">
      <alignment vertical="center"/>
      <protection locked="0"/>
    </xf>
    <xf numFmtId="0" fontId="18" fillId="3" borderId="3" xfId="0" applyFont="1" applyFill="1" applyBorder="1" applyAlignment="1" applyProtection="1">
      <alignment horizontal="left" vertical="center"/>
      <protection locked="0"/>
    </xf>
    <xf numFmtId="0" fontId="0" fillId="3" borderId="3" xfId="0" applyFill="1" applyBorder="1" applyAlignment="1">
      <alignment vertical="center"/>
    </xf>
    <xf numFmtId="0" fontId="0" fillId="3" borderId="3" xfId="0" applyFill="1" applyBorder="1"/>
    <xf numFmtId="0" fontId="9" fillId="3" borderId="13" xfId="0" applyFont="1" applyFill="1" applyBorder="1" applyAlignment="1" applyProtection="1">
      <alignment horizontal="center" vertical="top"/>
      <protection locked="0"/>
    </xf>
    <xf numFmtId="0" fontId="9" fillId="3" borderId="14" xfId="0" applyFont="1" applyFill="1" applyBorder="1" applyAlignment="1" applyProtection="1">
      <alignment horizontal="center" vertical="top"/>
      <protection locked="0"/>
    </xf>
    <xf numFmtId="0" fontId="7" fillId="3" borderId="14" xfId="0" applyFont="1" applyFill="1" applyBorder="1" applyAlignment="1" applyProtection="1">
      <alignment horizontal="left" vertical="top"/>
      <protection locked="0"/>
    </xf>
    <xf numFmtId="0" fontId="18" fillId="3" borderId="14" xfId="0" applyFont="1" applyFill="1" applyBorder="1" applyAlignment="1" applyProtection="1">
      <alignment horizontal="left" vertical="top"/>
      <protection locked="0"/>
    </xf>
    <xf numFmtId="0" fontId="1" fillId="2" borderId="1" xfId="0" applyFont="1" applyFill="1" applyBorder="1" applyAlignment="1">
      <alignment horizontal="center"/>
    </xf>
    <xf numFmtId="0" fontId="5" fillId="3" borderId="15" xfId="0" applyFont="1" applyFill="1" applyBorder="1" applyAlignment="1">
      <alignment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3" borderId="16" xfId="0" applyFill="1" applyBorder="1"/>
    <xf numFmtId="0" fontId="18" fillId="3" borderId="18" xfId="0" applyFont="1" applyFill="1" applyBorder="1" applyAlignment="1" applyProtection="1">
      <alignment horizontal="left" vertical="top"/>
      <protection locked="0"/>
    </xf>
    <xf numFmtId="0" fontId="4" fillId="3" borderId="4" xfId="0" applyFont="1" applyFill="1" applyBorder="1" applyAlignment="1" quotePrefix="1">
      <alignment vertical="center"/>
    </xf>
    <xf numFmtId="0" fontId="7" fillId="3" borderId="0" xfId="0" applyFont="1" applyFill="1" applyAlignment="1" quotePrefix="1">
      <alignment horizontal="left"/>
    </xf>
    <xf numFmtId="0" fontId="7" fillId="3" borderId="7" xfId="0" applyFont="1" applyFill="1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47625</xdr:colOff>
      <xdr:row>2</xdr:row>
      <xdr:rowOff>19942</xdr:rowOff>
    </xdr:from>
    <xdr:to>
      <xdr:col>10</xdr:col>
      <xdr:colOff>1905000</xdr:colOff>
      <xdr:row>7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325600" y="619760"/>
          <a:ext cx="1857375" cy="1104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21"/>
  <sheetViews>
    <sheetView tabSelected="1" workbookViewId="0">
      <selection activeCell="M15" sqref="M15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1.2857142857143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spans="1:11">
      <c r="A1" s="2"/>
      <c r="B1" s="3"/>
      <c r="C1" s="3"/>
      <c r="D1" s="4"/>
      <c r="E1" s="4"/>
      <c r="F1" s="4"/>
      <c r="G1" s="4"/>
      <c r="H1" s="4"/>
      <c r="I1" s="55"/>
      <c r="J1" s="55"/>
      <c r="K1" s="55"/>
    </row>
    <row r="2" ht="32.25" spans="1:11">
      <c r="A2" s="2"/>
      <c r="B2" s="5"/>
      <c r="C2" s="6"/>
      <c r="D2" s="7" t="s">
        <v>0</v>
      </c>
      <c r="E2" s="7"/>
      <c r="F2" s="61" t="s">
        <v>1</v>
      </c>
      <c r="G2" s="8"/>
      <c r="H2" s="9"/>
      <c r="I2" s="9"/>
      <c r="J2" s="9"/>
      <c r="K2" s="56"/>
    </row>
    <row r="3" spans="1:11">
      <c r="A3" s="2"/>
      <c r="B3" s="10"/>
      <c r="C3" s="11"/>
      <c r="D3" s="12" t="s">
        <v>2</v>
      </c>
      <c r="E3" s="12"/>
      <c r="F3" s="62" t="s">
        <v>3</v>
      </c>
      <c r="G3" s="12"/>
      <c r="H3" s="14"/>
      <c r="I3" s="14"/>
      <c r="J3" s="14"/>
      <c r="K3" s="57"/>
    </row>
    <row r="4" spans="1:11">
      <c r="A4" s="2"/>
      <c r="B4" s="10"/>
      <c r="C4" s="11"/>
      <c r="D4" s="12" t="s">
        <v>4</v>
      </c>
      <c r="E4" s="12"/>
      <c r="F4" s="15" t="s">
        <v>3</v>
      </c>
      <c r="G4" s="16"/>
      <c r="H4" s="17"/>
      <c r="I4" s="17"/>
      <c r="J4" s="17"/>
      <c r="K4" s="58"/>
    </row>
    <row r="5" spans="1:11">
      <c r="A5" s="2"/>
      <c r="B5" s="10"/>
      <c r="C5" s="11"/>
      <c r="D5" s="12" t="s">
        <v>5</v>
      </c>
      <c r="E5" s="12"/>
      <c r="F5" s="63" t="s">
        <v>6</v>
      </c>
      <c r="G5" s="19"/>
      <c r="H5" s="20"/>
      <c r="I5" s="20"/>
      <c r="J5" s="20"/>
      <c r="K5" s="58"/>
    </row>
    <row r="6" spans="1:11">
      <c r="A6" s="2"/>
      <c r="B6" s="21"/>
      <c r="C6" s="22"/>
      <c r="D6" s="23"/>
      <c r="E6" s="23"/>
      <c r="F6" s="24"/>
      <c r="G6" s="19"/>
      <c r="H6" s="20"/>
      <c r="I6" s="20"/>
      <c r="J6" s="20"/>
      <c r="K6" s="58"/>
    </row>
    <row r="7" spans="1:11">
      <c r="A7" s="2"/>
      <c r="B7" s="25"/>
      <c r="C7" s="26"/>
      <c r="D7" s="27"/>
      <c r="E7" s="27"/>
      <c r="F7" s="28"/>
      <c r="G7" s="27"/>
      <c r="H7" s="29"/>
      <c r="I7" s="29"/>
      <c r="J7" s="29"/>
      <c r="K7" s="58"/>
    </row>
    <row r="8" spans="1:11">
      <c r="A8" s="2"/>
      <c r="B8" s="30"/>
      <c r="C8" s="31"/>
      <c r="D8" s="32"/>
      <c r="E8" s="32"/>
      <c r="F8" s="33"/>
      <c r="G8" s="27"/>
      <c r="H8" s="29"/>
      <c r="I8" s="29"/>
      <c r="J8" s="29"/>
      <c r="K8" s="58"/>
    </row>
    <row r="9" ht="15.75" spans="1:11">
      <c r="A9" s="2"/>
      <c r="B9" s="34" t="s">
        <v>7</v>
      </c>
      <c r="C9" s="34" t="s">
        <v>8</v>
      </c>
      <c r="D9" s="34" t="s">
        <v>9</v>
      </c>
      <c r="E9" s="35" t="s">
        <v>10</v>
      </c>
      <c r="F9" s="34" t="s">
        <v>11</v>
      </c>
      <c r="G9" s="35" t="s">
        <v>12</v>
      </c>
      <c r="H9" s="34" t="s">
        <v>13</v>
      </c>
      <c r="I9" s="35" t="s">
        <v>14</v>
      </c>
      <c r="J9" s="34" t="s">
        <v>15</v>
      </c>
      <c r="K9" s="34" t="s">
        <v>16</v>
      </c>
    </row>
    <row r="10" ht="36.75" spans="1:11">
      <c r="A10" s="2"/>
      <c r="B10" s="36">
        <f>ROW(B10)-ROW($B$9)</f>
        <v>1</v>
      </c>
      <c r="C10" s="37" t="s">
        <v>17</v>
      </c>
      <c r="D10" s="38" t="s">
        <v>18</v>
      </c>
      <c r="E10" s="39" t="s">
        <v>19</v>
      </c>
      <c r="F10" s="38" t="s">
        <v>20</v>
      </c>
      <c r="G10" s="39" t="s">
        <v>21</v>
      </c>
      <c r="H10" s="38" t="s">
        <v>22</v>
      </c>
      <c r="I10" s="39" t="s">
        <v>21</v>
      </c>
      <c r="J10" s="38">
        <v>4</v>
      </c>
      <c r="K10" s="38"/>
    </row>
    <row r="11" ht="48.75" spans="1:11">
      <c r="A11" s="2"/>
      <c r="B11" s="36">
        <f t="shared" ref="B11:B14" si="0">ROW(B11)-ROW($B$9)</f>
        <v>2</v>
      </c>
      <c r="C11" s="40" t="s">
        <v>17</v>
      </c>
      <c r="D11" s="41" t="s">
        <v>23</v>
      </c>
      <c r="E11" s="42" t="s">
        <v>24</v>
      </c>
      <c r="F11" s="41" t="s">
        <v>25</v>
      </c>
      <c r="G11" s="42" t="s">
        <v>26</v>
      </c>
      <c r="H11" s="41" t="s">
        <v>27</v>
      </c>
      <c r="I11" s="42" t="s">
        <v>26</v>
      </c>
      <c r="J11" s="41">
        <v>2</v>
      </c>
      <c r="K11" s="41"/>
    </row>
    <row r="12" ht="36.75" spans="1:11">
      <c r="A12" s="2"/>
      <c r="B12" s="36">
        <f t="shared" si="0"/>
        <v>3</v>
      </c>
      <c r="C12" s="37" t="s">
        <v>17</v>
      </c>
      <c r="D12" s="38" t="s">
        <v>28</v>
      </c>
      <c r="E12" s="39" t="s">
        <v>29</v>
      </c>
      <c r="F12" s="38" t="s">
        <v>30</v>
      </c>
      <c r="G12" s="39" t="s">
        <v>31</v>
      </c>
      <c r="H12" s="38" t="s">
        <v>32</v>
      </c>
      <c r="I12" s="39" t="s">
        <v>31</v>
      </c>
      <c r="J12" s="38">
        <v>1</v>
      </c>
      <c r="K12" s="38"/>
    </row>
    <row r="13" ht="60.75" spans="1:11">
      <c r="A13" s="2"/>
      <c r="B13" s="36">
        <f t="shared" si="0"/>
        <v>4</v>
      </c>
      <c r="C13" s="40" t="s">
        <v>17</v>
      </c>
      <c r="D13" s="41" t="s">
        <v>33</v>
      </c>
      <c r="E13" s="42" t="s">
        <v>34</v>
      </c>
      <c r="F13" s="41" t="s">
        <v>35</v>
      </c>
      <c r="G13" s="42" t="s">
        <v>36</v>
      </c>
      <c r="H13" s="41" t="s">
        <v>37</v>
      </c>
      <c r="I13" s="42" t="s">
        <v>36</v>
      </c>
      <c r="J13" s="41">
        <v>1</v>
      </c>
      <c r="K13" s="41"/>
    </row>
    <row r="14" ht="24.75" spans="1:11">
      <c r="A14" s="2"/>
      <c r="B14" s="36">
        <f t="shared" si="0"/>
        <v>5</v>
      </c>
      <c r="C14" s="37" t="s">
        <v>38</v>
      </c>
      <c r="D14" s="43" t="s">
        <v>39</v>
      </c>
      <c r="E14" s="39" t="s">
        <v>40</v>
      </c>
      <c r="F14" s="38" t="s">
        <v>41</v>
      </c>
      <c r="G14" s="39" t="s">
        <v>41</v>
      </c>
      <c r="H14" s="38" t="s">
        <v>42</v>
      </c>
      <c r="I14" s="39" t="s">
        <v>41</v>
      </c>
      <c r="J14" s="38">
        <v>2</v>
      </c>
      <c r="K14" s="43"/>
    </row>
    <row r="15" ht="24.75" spans="1:11">
      <c r="A15" s="2"/>
      <c r="B15" s="44"/>
      <c r="C15" s="37" t="s">
        <v>43</v>
      </c>
      <c r="D15" s="41" t="s">
        <v>44</v>
      </c>
      <c r="E15" s="39" t="s">
        <v>45</v>
      </c>
      <c r="F15" s="38" t="s">
        <v>44</v>
      </c>
      <c r="G15" s="39" t="s">
        <v>44</v>
      </c>
      <c r="H15" s="38" t="s">
        <v>46</v>
      </c>
      <c r="I15" s="39" t="s">
        <v>44</v>
      </c>
      <c r="J15" s="38">
        <v>2</v>
      </c>
      <c r="K15" s="38"/>
    </row>
    <row r="16" ht="15.75" spans="1:11">
      <c r="A16" s="2"/>
      <c r="B16" s="44"/>
      <c r="C16" s="37" t="s">
        <v>43</v>
      </c>
      <c r="D16" s="38" t="s">
        <v>44</v>
      </c>
      <c r="E16" s="39" t="s">
        <v>47</v>
      </c>
      <c r="F16" s="38" t="s">
        <v>44</v>
      </c>
      <c r="G16" s="39" t="s">
        <v>44</v>
      </c>
      <c r="H16" s="38" t="s">
        <v>48</v>
      </c>
      <c r="I16" s="39" t="s">
        <v>44</v>
      </c>
      <c r="J16" s="38">
        <v>2</v>
      </c>
      <c r="K16" s="38"/>
    </row>
    <row r="17" ht="24.75" spans="1:11">
      <c r="A17" s="2"/>
      <c r="B17" s="44"/>
      <c r="C17" s="37" t="s">
        <v>43</v>
      </c>
      <c r="D17" s="38" t="s">
        <v>44</v>
      </c>
      <c r="E17" s="39" t="s">
        <v>49</v>
      </c>
      <c r="F17" s="38" t="s">
        <v>44</v>
      </c>
      <c r="G17" s="39" t="s">
        <v>44</v>
      </c>
      <c r="H17" s="38" t="s">
        <v>50</v>
      </c>
      <c r="I17" s="39" t="s">
        <v>44</v>
      </c>
      <c r="J17" s="38">
        <v>2</v>
      </c>
      <c r="K17" s="38"/>
    </row>
    <row r="18" ht="15.75" spans="1:11">
      <c r="A18" s="2"/>
      <c r="B18" s="44"/>
      <c r="C18" s="37" t="s">
        <v>43</v>
      </c>
      <c r="D18" s="38" t="s">
        <v>44</v>
      </c>
      <c r="E18" s="39" t="s">
        <v>51</v>
      </c>
      <c r="F18" s="38" t="s">
        <v>44</v>
      </c>
      <c r="G18" s="39" t="s">
        <v>44</v>
      </c>
      <c r="H18" s="38" t="s">
        <v>44</v>
      </c>
      <c r="I18" s="39" t="s">
        <v>44</v>
      </c>
      <c r="J18" s="38">
        <v>1</v>
      </c>
      <c r="K18" s="38"/>
    </row>
    <row r="19" ht="15.75" spans="1:11">
      <c r="A19" s="2"/>
      <c r="B19" s="44"/>
      <c r="C19" s="37" t="s">
        <v>43</v>
      </c>
      <c r="D19" s="38" t="s">
        <v>44</v>
      </c>
      <c r="E19" s="39" t="s">
        <v>52</v>
      </c>
      <c r="F19" s="38" t="s">
        <v>44</v>
      </c>
      <c r="G19" s="39" t="s">
        <v>44</v>
      </c>
      <c r="H19" s="38" t="s">
        <v>53</v>
      </c>
      <c r="I19" s="39" t="s">
        <v>44</v>
      </c>
      <c r="J19" s="38">
        <v>1</v>
      </c>
      <c r="K19" s="38"/>
    </row>
    <row r="20" spans="1:11">
      <c r="A20" s="2"/>
      <c r="B20" s="45"/>
      <c r="C20" s="46"/>
      <c r="D20" s="47"/>
      <c r="E20" s="48"/>
      <c r="F20" s="49"/>
      <c r="G20" s="50"/>
      <c r="H20" s="49"/>
      <c r="I20" s="50"/>
      <c r="J20" s="50"/>
      <c r="K20" s="59"/>
    </row>
    <row r="21" spans="1:11">
      <c r="A21" s="2"/>
      <c r="B21" s="51"/>
      <c r="C21" s="52"/>
      <c r="D21" s="53"/>
      <c r="E21" s="54"/>
      <c r="F21" s="54"/>
      <c r="G21" s="54"/>
      <c r="H21" s="54"/>
      <c r="I21" s="54"/>
      <c r="J21" s="54"/>
      <c r="K21" s="60"/>
    </row>
  </sheetData>
  <mergeCells count="2">
    <mergeCell ref="I1:K1"/>
    <mergeCell ref="K3:K8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Hunain</cp:lastModifiedBy>
  <dcterms:created xsi:type="dcterms:W3CDTF">2019-12-12T10:34:00Z</dcterms:created>
  <dcterms:modified xsi:type="dcterms:W3CDTF">2023-12-20T16:09:33Z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44C74B5FBCF54E32B91E8181459138AA_12</vt:lpwstr>
  </property>
  <property fmtid="{D5CDD505-2E9C-101B-9397-08002B2CF9AE}" pid="3" name="KSOProductBuildVer">
    <vt:lpwstr>2057-12.2.0.13359</vt:lpwstr>
  </property>
</Properties>
</file>